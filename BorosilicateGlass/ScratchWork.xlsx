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AH_Absorption_Energy\SimulationsSoftwareProgramsCode\VOCC_Simulation\BorosilicateGlass\"/>
    </mc:Choice>
  </mc:AlternateContent>
  <xr:revisionPtr revIDLastSave="0" documentId="13_ncr:1_{9FB78C7A-DD7F-4327-88BD-373E453CC3A0}" xr6:coauthVersionLast="47" xr6:coauthVersionMax="47" xr10:uidLastSave="{00000000-0000-0000-0000-000000000000}"/>
  <bookViews>
    <workbookView xWindow="44520" yWindow="-13305" windowWidth="28800" windowHeight="15375" xr2:uid="{3F4C9C1C-6576-4DC5-97F5-48720945B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I18" i="1"/>
  <c r="J18" i="1"/>
  <c r="K18" i="1"/>
  <c r="G18" i="1"/>
  <c r="L18" i="1" s="1"/>
  <c r="L13" i="1"/>
  <c r="L12" i="1"/>
  <c r="K3" i="1"/>
  <c r="J3" i="1"/>
  <c r="G3" i="1"/>
  <c r="G5" i="1" s="1"/>
  <c r="H3" i="1"/>
  <c r="H5" i="1" s="1"/>
  <c r="Q3" i="1"/>
  <c r="N3" i="1"/>
  <c r="P3" i="1" l="1"/>
  <c r="K5" i="1"/>
  <c r="K7" i="1" s="1"/>
  <c r="J5" i="1"/>
  <c r="J7" i="1" s="1"/>
  <c r="H7" i="1"/>
  <c r="G7" i="1"/>
  <c r="O3" i="1" l="1"/>
  <c r="N5" i="1" s="1"/>
  <c r="P5" i="1" l="1"/>
  <c r="Q5" i="1"/>
  <c r="I3" i="1"/>
  <c r="O5" i="1"/>
  <c r="I5" i="1" l="1"/>
  <c r="L5" i="1" s="1"/>
  <c r="L3" i="1"/>
  <c r="I7" i="1"/>
  <c r="F8" i="1" s="1"/>
</calcChain>
</file>

<file path=xl/sharedStrings.xml><?xml version="1.0" encoding="utf-8"?>
<sst xmlns="http://schemas.openxmlformats.org/spreadsheetml/2006/main" count="24" uniqueCount="15">
  <si>
    <t>Current</t>
  </si>
  <si>
    <t>B</t>
  </si>
  <si>
    <t>Na</t>
  </si>
  <si>
    <t>O</t>
  </si>
  <si>
    <t>Si</t>
  </si>
  <si>
    <t>Final</t>
  </si>
  <si>
    <t>Al</t>
  </si>
  <si>
    <t>Borosilicate</t>
  </si>
  <si>
    <t>SiO2</t>
  </si>
  <si>
    <t>B2O3</t>
  </si>
  <si>
    <t>Na2O</t>
  </si>
  <si>
    <t>Al2O3</t>
  </si>
  <si>
    <t>Borosilicate Numbers</t>
  </si>
  <si>
    <t>Target:</t>
  </si>
  <si>
    <t>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</si>
</sst>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73C1-6E7D-49F4-9EB2-6BF573F18EF9}">
  <dimension ref="A1:V20"/>
  <sheetViews>
    <sheetView tabSelected="1" workbookViewId="0">
      <selection activeCell="L19" sqref="L19"/>
    </sheetView>
  </sheetViews>
  <sheetFormatPr defaultRowHeight="14.5" x14ac:dyDescent="0.35"/>
  <cols>
    <col min="9" max="9" width="8.7265625" customWidth="1"/>
  </cols>
  <sheetData>
    <row r="1" spans="1:22" x14ac:dyDescent="0.35">
      <c r="A1" t="s">
        <v>0</v>
      </c>
      <c r="G1" t="s">
        <v>5</v>
      </c>
      <c r="N1" t="s">
        <v>7</v>
      </c>
      <c r="S1" t="s">
        <v>12</v>
      </c>
    </row>
    <row r="2" spans="1:22" x14ac:dyDescent="0.35">
      <c r="A2" t="s">
        <v>1</v>
      </c>
      <c r="B2" t="s">
        <v>2</v>
      </c>
      <c r="C2" t="s">
        <v>3</v>
      </c>
      <c r="D2" t="s">
        <v>4</v>
      </c>
      <c r="E2" t="s">
        <v>6</v>
      </c>
      <c r="G2" t="s">
        <v>1</v>
      </c>
      <c r="H2" t="s">
        <v>2</v>
      </c>
      <c r="I2" t="s">
        <v>3</v>
      </c>
      <c r="J2" t="s">
        <v>4</v>
      </c>
      <c r="K2" t="s">
        <v>6</v>
      </c>
      <c r="N2" t="s">
        <v>8</v>
      </c>
      <c r="O2" t="s">
        <v>9</v>
      </c>
      <c r="P2" t="s">
        <v>10</v>
      </c>
      <c r="Q2" t="s">
        <v>11</v>
      </c>
      <c r="S2" t="s">
        <v>8</v>
      </c>
      <c r="T2" t="s">
        <v>9</v>
      </c>
      <c r="U2" t="s">
        <v>10</v>
      </c>
      <c r="V2" t="s">
        <v>11</v>
      </c>
    </row>
    <row r="3" spans="1:22" x14ac:dyDescent="0.35">
      <c r="A3">
        <v>2</v>
      </c>
      <c r="B3">
        <v>2</v>
      </c>
      <c r="C3">
        <v>8</v>
      </c>
      <c r="D3">
        <v>3</v>
      </c>
      <c r="E3">
        <v>2</v>
      </c>
      <c r="G3">
        <f>T3*2</f>
        <v>60</v>
      </c>
      <c r="H3">
        <f>U3*2</f>
        <v>20</v>
      </c>
      <c r="I3">
        <f>(3*O3)+P3+(2*N3)+(3*Q3)</f>
        <v>495</v>
      </c>
      <c r="J3">
        <f>S3</f>
        <v>190</v>
      </c>
      <c r="K3">
        <f>V3*2</f>
        <v>10</v>
      </c>
      <c r="L3">
        <f>SUM(G3:K3)</f>
        <v>775</v>
      </c>
      <c r="N3">
        <f>J3</f>
        <v>190</v>
      </c>
      <c r="O3">
        <f>G3/2</f>
        <v>30</v>
      </c>
      <c r="P3">
        <f>H3/2</f>
        <v>10</v>
      </c>
      <c r="Q3">
        <f>K3/2</f>
        <v>5</v>
      </c>
      <c r="S3">
        <v>190</v>
      </c>
      <c r="T3">
        <v>30</v>
      </c>
      <c r="U3">
        <v>10</v>
      </c>
      <c r="V3">
        <v>5</v>
      </c>
    </row>
    <row r="4" spans="1:22" x14ac:dyDescent="0.35">
      <c r="A4">
        <v>4</v>
      </c>
      <c r="B4">
        <v>4</v>
      </c>
      <c r="C4">
        <v>32</v>
      </c>
      <c r="D4">
        <v>12</v>
      </c>
      <c r="E4">
        <v>1</v>
      </c>
      <c r="P4" s="1"/>
    </row>
    <row r="5" spans="1:22" x14ac:dyDescent="0.35">
      <c r="G5">
        <f>G3/5</f>
        <v>12</v>
      </c>
      <c r="H5">
        <f>H3/5</f>
        <v>4</v>
      </c>
      <c r="I5">
        <f>I3/5</f>
        <v>99</v>
      </c>
      <c r="J5">
        <f>J3/5</f>
        <v>38</v>
      </c>
      <c r="K5">
        <f>K3/5</f>
        <v>2</v>
      </c>
      <c r="L5">
        <f>SUM(G5:K5)</f>
        <v>155</v>
      </c>
      <c r="N5">
        <f>100*N3/SUM($N$3:$Q$3)</f>
        <v>80.851063829787236</v>
      </c>
      <c r="O5">
        <f t="shared" ref="O5:Q5" si="0">100*O3/SUM($N$3:$Q$3)</f>
        <v>12.76595744680851</v>
      </c>
      <c r="P5">
        <f t="shared" si="0"/>
        <v>4.2553191489361701</v>
      </c>
      <c r="Q5">
        <f t="shared" si="0"/>
        <v>2.1276595744680851</v>
      </c>
    </row>
    <row r="7" spans="1:22" x14ac:dyDescent="0.35">
      <c r="F7" t="s">
        <v>14</v>
      </c>
      <c r="G7">
        <f>(3*G5)</f>
        <v>36</v>
      </c>
      <c r="H7">
        <f>(1*H5)</f>
        <v>4</v>
      </c>
      <c r="I7">
        <f>(-2*I5)</f>
        <v>-198</v>
      </c>
      <c r="J7">
        <f>4*J5</f>
        <v>152</v>
      </c>
      <c r="K7">
        <f>3*K5</f>
        <v>6</v>
      </c>
      <c r="M7" t="s">
        <v>13</v>
      </c>
      <c r="N7">
        <v>80.599999999999994</v>
      </c>
      <c r="O7">
        <v>13</v>
      </c>
      <c r="P7">
        <v>4</v>
      </c>
      <c r="Q7">
        <v>2.2999999999999998</v>
      </c>
    </row>
    <row r="8" spans="1:22" x14ac:dyDescent="0.35">
      <c r="F8">
        <f>SUM(G7:K7)</f>
        <v>0</v>
      </c>
    </row>
    <row r="12" spans="1:22" x14ac:dyDescent="0.35">
      <c r="L12">
        <f>155*27</f>
        <v>4185</v>
      </c>
    </row>
    <row r="13" spans="1:22" x14ac:dyDescent="0.35">
      <c r="L13">
        <f>108+324+1026+2673+54</f>
        <v>4185</v>
      </c>
    </row>
    <row r="16" spans="1:22" x14ac:dyDescent="0.35">
      <c r="B16">
        <v>9.8220000000000002E-2</v>
      </c>
      <c r="C16">
        <v>4.24437</v>
      </c>
      <c r="D16">
        <v>2.12561</v>
      </c>
      <c r="G16">
        <v>23</v>
      </c>
      <c r="H16">
        <v>11</v>
      </c>
      <c r="I16">
        <v>217</v>
      </c>
      <c r="J16">
        <v>87</v>
      </c>
      <c r="K16">
        <v>2</v>
      </c>
    </row>
    <row r="17" spans="2:12" x14ac:dyDescent="0.35">
      <c r="G17">
        <v>3</v>
      </c>
      <c r="H17">
        <v>1</v>
      </c>
      <c r="I17">
        <v>-2</v>
      </c>
      <c r="J17">
        <v>4</v>
      </c>
      <c r="K17">
        <v>3</v>
      </c>
    </row>
    <row r="18" spans="2:12" x14ac:dyDescent="0.35">
      <c r="B18">
        <v>0.49209999999999998</v>
      </c>
      <c r="C18">
        <v>1.3573999999999999</v>
      </c>
      <c r="D18">
        <v>3.8976600000000001</v>
      </c>
      <c r="G18">
        <f>G17*G16</f>
        <v>69</v>
      </c>
      <c r="H18">
        <f t="shared" ref="H18:K18" si="1">H17*H16</f>
        <v>11</v>
      </c>
      <c r="I18">
        <f t="shared" si="1"/>
        <v>-434</v>
      </c>
      <c r="J18">
        <f t="shared" si="1"/>
        <v>348</v>
      </c>
      <c r="K18">
        <f t="shared" si="1"/>
        <v>6</v>
      </c>
      <c r="L18">
        <f>SUM(G18:K18)</f>
        <v>0</v>
      </c>
    </row>
    <row r="20" spans="2:12" x14ac:dyDescent="0.35">
      <c r="B20">
        <v>0.26150000000000001</v>
      </c>
      <c r="C20">
        <v>2.9561999999999999</v>
      </c>
      <c r="D20">
        <v>3.01214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Mohammed</dc:creator>
  <cp:lastModifiedBy>Sabeel Mohammed</cp:lastModifiedBy>
  <dcterms:created xsi:type="dcterms:W3CDTF">2026-01-31T18:46:36Z</dcterms:created>
  <dcterms:modified xsi:type="dcterms:W3CDTF">2026-02-16T01:31:17Z</dcterms:modified>
</cp:coreProperties>
</file>