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PAH_Absorption_Energy\"/>
    </mc:Choice>
  </mc:AlternateContent>
  <xr:revisionPtr revIDLastSave="0" documentId="13_ncr:10000001_{F9979A19-A03F-4193-9CEF-4F729D073F8C}" xr6:coauthVersionLast="47" xr6:coauthVersionMax="47" xr10:uidLastSave="{00000000-0000-0000-0000-000000000000}"/>
  <bookViews>
    <workbookView xWindow="-110" yWindow="-110" windowWidth="25820" windowHeight="13900" xr2:uid="{B3A69202-0FF9-4B16-9A51-5D6B7CFFF746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" l="1"/>
  <c r="J4" i="1"/>
  <c r="J5" i="1" s="1"/>
  <c r="J2" i="1"/>
  <c r="H6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F6" i="1"/>
  <c r="H5" i="1"/>
  <c r="F5" i="1"/>
  <c r="H4" i="1"/>
  <c r="F4" i="1"/>
  <c r="H3" i="1"/>
  <c r="F3" i="1"/>
</calcChain>
</file>

<file path=xl/sharedStrings.xml><?xml version="1.0" encoding="utf-8"?>
<sst xmlns="http://schemas.openxmlformats.org/spreadsheetml/2006/main" count="136" uniqueCount="41">
  <si>
    <t>total energy</t>
  </si>
  <si>
    <t>Ry</t>
  </si>
  <si>
    <t>NaphthaleneOnGlassSite2Snapshot10.out:!</t>
  </si>
  <si>
    <t>NaphthaleneOnGlassSite2Snapshot11.out:!</t>
  </si>
  <si>
    <t>NaphthaleneOnGlassSite2Snapshot12.out:!</t>
  </si>
  <si>
    <t>NaphthaleneOnGlassSite2Snapshot13.out:!</t>
  </si>
  <si>
    <t>NaphthaleneOnGlassSite2Snapshot14.out:!</t>
  </si>
  <si>
    <t>NaphthaleneOnGlassSite2Snapshot15.out:!</t>
  </si>
  <si>
    <t>NaphthaleneOnGlassSite2Snapshot16.out:!</t>
  </si>
  <si>
    <t>NaphthaleneOnGlassSite2Snapshot17.out:!</t>
  </si>
  <si>
    <t>NaphthaleneOnGlassSite2Snapshot18.out:!</t>
  </si>
  <si>
    <t>NaphthaleneOnGlassSite2Snapshot1.out:!</t>
  </si>
  <si>
    <t>NaphthaleneOnGlassSite2Snapshot20.out:!</t>
  </si>
  <si>
    <t>NaphthaleneOnGlassSite2Snapshot21.out:!</t>
  </si>
  <si>
    <t>NaphthaleneOnGlassSite2Snapshot22.out:!</t>
  </si>
  <si>
    <t>NaphthaleneOnGlassSite2Snapshot23.out:!</t>
  </si>
  <si>
    <t>NaphthaleneOnGlassSite2Snapshot24.out:!</t>
  </si>
  <si>
    <t>NaphthaleneOnGlassSite2Snapshot25.out:!</t>
  </si>
  <si>
    <t>NaphthaleneOnGlassSite2Snapshot26.out:!</t>
  </si>
  <si>
    <t>NaphthaleneOnGlassSite2Snapshot27.out:!</t>
  </si>
  <si>
    <t>NaphthaleneOnGlassSite2Snapshot2.out:!</t>
  </si>
  <si>
    <t>NaphthaleneOnGlassSite2Snapshot3.out:!</t>
  </si>
  <si>
    <t>NaphthaleneOnGlassSite2Snapshot4.out:!</t>
  </si>
  <si>
    <t>NaphthaleneOnGlassSite2Snapshot5.out:!</t>
  </si>
  <si>
    <t>NaphthaleneOnGlassSite2Snapshot6.out:!</t>
  </si>
  <si>
    <t>NaphthaleneOnGlassSite2Snapshot7.out:!</t>
  </si>
  <si>
    <t>NaphthaleneOnGlassSite2Snapshot8.out:!</t>
  </si>
  <si>
    <t>NaphthaleneOnGlassSite2Snapshot9.out:!</t>
  </si>
  <si>
    <t>NaphthaleneOnGlassSite2Snapshot28.out:!</t>
  </si>
  <si>
    <t>NaphthaleneOnGlassSite2Snapshot29.out:!</t>
  </si>
  <si>
    <t>NaphthaleneOnGlassSite2Snapshot30.out:!</t>
  </si>
  <si>
    <t>NaphthaleneOnGlassSite2Snapshot32.out:!</t>
  </si>
  <si>
    <t>NaphthaleneOnGlassSite2Snapshot33.out:!</t>
  </si>
  <si>
    <t>NaphthaleneSite2Snapshot1.out</t>
  </si>
  <si>
    <t>GlassSite2Snapshot1.out</t>
  </si>
  <si>
    <t>corrected energy</t>
  </si>
  <si>
    <t>kJ</t>
  </si>
  <si>
    <t>eV</t>
  </si>
  <si>
    <t>Average Energy of Decay</t>
  </si>
  <si>
    <t>Lowest Energy Potential</t>
  </si>
  <si>
    <t>Difference between Low and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</si>
</sst>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Corrected</a:t>
            </a:r>
            <a:r>
              <a:rPr lang="en-US" baseline="0"/>
              <a:t> Potential Energy vs Distance from Glass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Sheet1!$F$4:$F$33</c:f>
              <c:numCache>
                <c:formatCode>General</c:formatCode>
                <c:ptCount val="30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5.5</c:v>
                </c:pt>
                <c:pt idx="11">
                  <c:v>6</c:v>
                </c:pt>
                <c:pt idx="12">
                  <c:v>6.5</c:v>
                </c:pt>
                <c:pt idx="13">
                  <c:v>7</c:v>
                </c:pt>
                <c:pt idx="14">
                  <c:v>7.5</c:v>
                </c:pt>
                <c:pt idx="15">
                  <c:v>8</c:v>
                </c:pt>
                <c:pt idx="16">
                  <c:v>8.5</c:v>
                </c:pt>
                <c:pt idx="17">
                  <c:v>9.5</c:v>
                </c:pt>
                <c:pt idx="18">
                  <c:v>10</c:v>
                </c:pt>
                <c:pt idx="19">
                  <c:v>10.5</c:v>
                </c:pt>
                <c:pt idx="20">
                  <c:v>11</c:v>
                </c:pt>
                <c:pt idx="21">
                  <c:v>11.5</c:v>
                </c:pt>
                <c:pt idx="22">
                  <c:v>12</c:v>
                </c:pt>
                <c:pt idx="23">
                  <c:v>12.5</c:v>
                </c:pt>
                <c:pt idx="24">
                  <c:v>13</c:v>
                </c:pt>
                <c:pt idx="25">
                  <c:v>13.5</c:v>
                </c:pt>
                <c:pt idx="26">
                  <c:v>14</c:v>
                </c:pt>
                <c:pt idx="27">
                  <c:v>14.5</c:v>
                </c:pt>
                <c:pt idx="28">
                  <c:v>15.5</c:v>
                </c:pt>
                <c:pt idx="29">
                  <c:v>16</c:v>
                </c:pt>
              </c:numCache>
            </c:numRef>
          </c:xVal>
          <c:yVal>
            <c:numRef>
              <c:f>Sheet1!$H$4:$H$33</c:f>
              <c:numCache>
                <c:formatCode>General</c:formatCode>
                <c:ptCount val="30"/>
                <c:pt idx="0">
                  <c:v>2.5479199994151713E-3</c:v>
                </c:pt>
                <c:pt idx="1">
                  <c:v>-5.5605899997317465E-3</c:v>
                </c:pt>
                <c:pt idx="2">
                  <c:v>-5.6061100003717002E-3</c:v>
                </c:pt>
                <c:pt idx="3">
                  <c:v>-4.5550100003310945E-3</c:v>
                </c:pt>
                <c:pt idx="4">
                  <c:v>-3.7719199990533525E-3</c:v>
                </c:pt>
                <c:pt idx="5">
                  <c:v>-3.313979999802541E-3</c:v>
                </c:pt>
                <c:pt idx="6">
                  <c:v>-3.1014199994388036E-3</c:v>
                </c:pt>
                <c:pt idx="7">
                  <c:v>-3.0349400003615301E-3</c:v>
                </c:pt>
                <c:pt idx="8">
                  <c:v>-3.0494399998133304E-3</c:v>
                </c:pt>
                <c:pt idx="9">
                  <c:v>-3.1035699994390598E-3</c:v>
                </c:pt>
                <c:pt idx="10">
                  <c:v>-3.1683800007158425E-3</c:v>
                </c:pt>
                <c:pt idx="11">
                  <c:v>-3.2350799992855173E-3</c:v>
                </c:pt>
                <c:pt idx="12">
                  <c:v>-3.293140000096173E-3</c:v>
                </c:pt>
                <c:pt idx="13">
                  <c:v>-3.3460399990872247E-3</c:v>
                </c:pt>
                <c:pt idx="14">
                  <c:v>-3.3921899994311389E-3</c:v>
                </c:pt>
                <c:pt idx="15">
                  <c:v>-3.4341999999014661E-3</c:v>
                </c:pt>
                <c:pt idx="16">
                  <c:v>-3.4761499991873279E-3</c:v>
                </c:pt>
                <c:pt idx="17">
                  <c:v>-3.5607499994512182E-3</c:v>
                </c:pt>
                <c:pt idx="18">
                  <c:v>-3.601630000048317E-3</c:v>
                </c:pt>
                <c:pt idx="19">
                  <c:v>-3.6445000005187467E-3</c:v>
                </c:pt>
                <c:pt idx="20">
                  <c:v>-3.6896799992973683E-3</c:v>
                </c:pt>
                <c:pt idx="21">
                  <c:v>-3.7388000000646571E-3</c:v>
                </c:pt>
                <c:pt idx="22">
                  <c:v>-3.7889399991399841E-3</c:v>
                </c:pt>
                <c:pt idx="23">
                  <c:v>-3.8418700005422579E-3</c:v>
                </c:pt>
                <c:pt idx="24">
                  <c:v>-3.8954400006332435E-3</c:v>
                </c:pt>
                <c:pt idx="25">
                  <c:v>-3.9532400005555246E-3</c:v>
                </c:pt>
                <c:pt idx="26">
                  <c:v>-4.0136699990398483E-3</c:v>
                </c:pt>
                <c:pt idx="27">
                  <c:v>-4.0789699996821582E-3</c:v>
                </c:pt>
                <c:pt idx="28">
                  <c:v>-4.214549999232986E-3</c:v>
                </c:pt>
                <c:pt idx="29">
                  <c:v>-4.2869400003837654E-3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EE-4F0D-988C-C328A09F0E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8185151"/>
        <c:axId val="1378183711"/>
      </c:scatterChart>
      <c:valAx>
        <c:axId val="1378185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 from Surface (Angstroms)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8183711"/>
        <c:crosses val="autoZero"/>
        <c:crossBetween val="midCat"/>
      </c:valAx>
      <c:valAx>
        <c:axId val="1378183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Corrected</a:t>
                </a:r>
                <a:r>
                  <a:rPr lang="en-US" baseline="0"/>
                  <a:t> Energy (Ry)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81851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111124</xdr:colOff>
      <xdr:row>33</xdr:row>
      <xdr:rowOff>50800</xdr:rowOff>
    </xdr:from>
    <xdr:to>
      <xdr:col>8</xdr:col>
      <xdr:colOff>19050</xdr:colOff>
      <xdr:row>59</xdr:row>
      <xdr:rowOff>158750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3E57846-F4EA-4CAA-210F-838FE65F30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B50E0-3D4D-4718-AB5E-B5F3FCFB9BF8}">
  <dimension ref="A1:K44"/>
  <sheetViews>
    <sheetView tabSelected="1" zoomScaleNormal="100" workbookViewId="0">
      <selection activeCell="I19" sqref="I19"/>
    </sheetView>
  </sheetViews>
  <sheetFormatPr defaultRowHeight="14.5" x14ac:dyDescent="0.35"/>
  <cols>
    <col min="2" max="2" width="40.54296875" customWidth="1"/>
    <col min="3" max="3" width="14.36328125" customWidth="1"/>
    <col min="4" max="4" width="22.26953125" customWidth="1"/>
    <col min="5" max="5" width="6.1796875" customWidth="1"/>
    <col min="7" max="7" width="19.81640625" customWidth="1"/>
    <col min="8" max="8" width="15.90625" customWidth="1"/>
    <col min="9" max="9" width="27.7265625" customWidth="1"/>
  </cols>
  <sheetData>
    <row r="1" spans="1:11" x14ac:dyDescent="0.35">
      <c r="B1" t="s">
        <v>33</v>
      </c>
      <c r="C1" t="s">
        <v>0</v>
      </c>
      <c r="D1">
        <v>-193.78459755</v>
      </c>
      <c r="E1" t="s">
        <v>1</v>
      </c>
      <c r="I1" t="s">
        <v>39</v>
      </c>
      <c r="J1">
        <v>-5.6061100003717002E-3</v>
      </c>
    </row>
    <row r="2" spans="1:11" x14ac:dyDescent="0.35">
      <c r="B2" t="s">
        <v>34</v>
      </c>
      <c r="C2" t="s">
        <v>0</v>
      </c>
      <c r="D2">
        <v>-11488.31679035</v>
      </c>
      <c r="E2" t="s">
        <v>1</v>
      </c>
      <c r="I2" t="s">
        <v>38</v>
      </c>
      <c r="J2">
        <f>AVERAGE(H10:H33)</f>
        <v>-3.5809804164728121E-3</v>
      </c>
    </row>
    <row r="3" spans="1:11" x14ac:dyDescent="0.35">
      <c r="A3">
        <v>1</v>
      </c>
      <c r="B3" t="s">
        <v>11</v>
      </c>
      <c r="C3" t="s">
        <v>0</v>
      </c>
      <c r="D3">
        <v>-11682.062615160001</v>
      </c>
      <c r="E3" t="s">
        <v>1</v>
      </c>
      <c r="F3">
        <f t="shared" ref="F3:F33" si="0">A3*0.5-0.5</f>
        <v>0</v>
      </c>
      <c r="G3" t="s">
        <v>35</v>
      </c>
      <c r="H3">
        <f>D3-($D$2+$D$1)</f>
        <v>3.8772739999330952E-2</v>
      </c>
    </row>
    <row r="4" spans="1:11" x14ac:dyDescent="0.35">
      <c r="A4">
        <v>2</v>
      </c>
      <c r="B4" t="s">
        <v>20</v>
      </c>
      <c r="C4" t="s">
        <v>0</v>
      </c>
      <c r="D4">
        <v>-11682.098839980001</v>
      </c>
      <c r="E4" t="s">
        <v>1</v>
      </c>
      <c r="F4">
        <f t="shared" si="0"/>
        <v>0.5</v>
      </c>
      <c r="G4" t="s">
        <v>35</v>
      </c>
      <c r="H4">
        <f t="shared" ref="H4:H33" si="1">D4-($D$2+$D$1)</f>
        <v>2.5479199994151713E-3</v>
      </c>
      <c r="I4" t="s">
        <v>40</v>
      </c>
      <c r="J4">
        <f>ABS(J1-(J2))</f>
        <v>2.0251295838988881E-3</v>
      </c>
      <c r="K4" t="s">
        <v>1</v>
      </c>
    </row>
    <row r="5" spans="1:11" x14ac:dyDescent="0.35">
      <c r="A5">
        <v>3</v>
      </c>
      <c r="B5" t="s">
        <v>21</v>
      </c>
      <c r="C5" t="s">
        <v>0</v>
      </c>
      <c r="D5">
        <v>-11682.10694849</v>
      </c>
      <c r="E5" t="s">
        <v>1</v>
      </c>
      <c r="F5">
        <f t="shared" si="0"/>
        <v>1</v>
      </c>
      <c r="G5" t="s">
        <v>35</v>
      </c>
      <c r="H5">
        <f t="shared" si="1"/>
        <v>-5.5605899997317465E-3</v>
      </c>
      <c r="J5">
        <f>J4*1312.7</f>
        <v>2.6583876047840707</v>
      </c>
      <c r="K5" t="s">
        <v>36</v>
      </c>
    </row>
    <row r="6" spans="1:11" x14ac:dyDescent="0.35">
      <c r="A6">
        <v>4</v>
      </c>
      <c r="B6" t="s">
        <v>22</v>
      </c>
      <c r="C6" t="s">
        <v>0</v>
      </c>
      <c r="D6">
        <v>-11682.106994010001</v>
      </c>
      <c r="E6" t="s">
        <v>1</v>
      </c>
      <c r="F6">
        <f t="shared" si="0"/>
        <v>1.5</v>
      </c>
      <c r="G6" t="s">
        <v>35</v>
      </c>
      <c r="H6">
        <f>D6-($D$2+$D$1)</f>
        <v>-5.6061100003717002E-3</v>
      </c>
      <c r="J6">
        <f>J4*13.606</f>
        <v>2.755391311852827E-2</v>
      </c>
      <c r="K6" t="s">
        <v>37</v>
      </c>
    </row>
    <row r="7" spans="1:11" x14ac:dyDescent="0.35">
      <c r="A7">
        <v>5</v>
      </c>
      <c r="B7" t="s">
        <v>23</v>
      </c>
      <c r="C7" t="s">
        <v>0</v>
      </c>
      <c r="D7">
        <v>-11682.105942910001</v>
      </c>
      <c r="E7" t="s">
        <v>1</v>
      </c>
      <c r="F7">
        <f t="shared" si="0"/>
        <v>2</v>
      </c>
      <c r="G7" t="s">
        <v>35</v>
      </c>
      <c r="H7">
        <f t="shared" si="1"/>
        <v>-4.5550100003310945E-3</v>
      </c>
    </row>
    <row r="8" spans="1:11" x14ac:dyDescent="0.35">
      <c r="A8">
        <v>6</v>
      </c>
      <c r="B8" t="s">
        <v>24</v>
      </c>
      <c r="C8" t="s">
        <v>0</v>
      </c>
      <c r="D8">
        <v>-11682.105159819999</v>
      </c>
      <c r="E8" t="s">
        <v>1</v>
      </c>
      <c r="F8">
        <f t="shared" si="0"/>
        <v>2.5</v>
      </c>
      <c r="G8" t="s">
        <v>35</v>
      </c>
      <c r="H8">
        <f t="shared" si="1"/>
        <v>-3.7719199990533525E-3</v>
      </c>
    </row>
    <row r="9" spans="1:11" x14ac:dyDescent="0.35">
      <c r="A9">
        <v>7</v>
      </c>
      <c r="B9" t="s">
        <v>25</v>
      </c>
      <c r="C9" t="s">
        <v>0</v>
      </c>
      <c r="D9">
        <v>-11682.10470188</v>
      </c>
      <c r="E9" t="s">
        <v>1</v>
      </c>
      <c r="F9">
        <f t="shared" si="0"/>
        <v>3</v>
      </c>
      <c r="G9" t="s">
        <v>35</v>
      </c>
      <c r="H9">
        <f t="shared" si="1"/>
        <v>-3.313979999802541E-3</v>
      </c>
    </row>
    <row r="10" spans="1:11" x14ac:dyDescent="0.35">
      <c r="A10">
        <v>8</v>
      </c>
      <c r="B10" t="s">
        <v>26</v>
      </c>
      <c r="C10" t="s">
        <v>0</v>
      </c>
      <c r="D10">
        <v>-11682.10448932</v>
      </c>
      <c r="E10" t="s">
        <v>1</v>
      </c>
      <c r="F10">
        <f t="shared" si="0"/>
        <v>3.5</v>
      </c>
      <c r="G10" t="s">
        <v>35</v>
      </c>
      <c r="H10">
        <f t="shared" si="1"/>
        <v>-3.1014199994388036E-3</v>
      </c>
    </row>
    <row r="11" spans="1:11" x14ac:dyDescent="0.35">
      <c r="A11">
        <v>9</v>
      </c>
      <c r="B11" t="s">
        <v>27</v>
      </c>
      <c r="C11" t="s">
        <v>0</v>
      </c>
      <c r="D11">
        <v>-11682.104422840001</v>
      </c>
      <c r="E11" t="s">
        <v>1</v>
      </c>
      <c r="F11">
        <f t="shared" si="0"/>
        <v>4</v>
      </c>
      <c r="G11" t="s">
        <v>35</v>
      </c>
      <c r="H11">
        <f t="shared" si="1"/>
        <v>-3.0349400003615301E-3</v>
      </c>
    </row>
    <row r="12" spans="1:11" x14ac:dyDescent="0.35">
      <c r="A12">
        <v>10</v>
      </c>
      <c r="B12" t="s">
        <v>2</v>
      </c>
      <c r="C12" t="s">
        <v>0</v>
      </c>
      <c r="D12">
        <v>-11682.10443734</v>
      </c>
      <c r="E12" t="s">
        <v>1</v>
      </c>
      <c r="F12">
        <f t="shared" si="0"/>
        <v>4.5</v>
      </c>
      <c r="G12" t="s">
        <v>35</v>
      </c>
      <c r="H12">
        <f t="shared" si="1"/>
        <v>-3.0494399998133304E-3</v>
      </c>
    </row>
    <row r="13" spans="1:11" x14ac:dyDescent="0.35">
      <c r="A13">
        <v>11</v>
      </c>
      <c r="B13" t="s">
        <v>3</v>
      </c>
      <c r="C13" t="s">
        <v>0</v>
      </c>
      <c r="D13">
        <v>-11682.10449147</v>
      </c>
      <c r="E13" t="s">
        <v>1</v>
      </c>
      <c r="F13">
        <f t="shared" si="0"/>
        <v>5</v>
      </c>
      <c r="G13" t="s">
        <v>35</v>
      </c>
      <c r="H13">
        <f t="shared" si="1"/>
        <v>-3.1035699994390598E-3</v>
      </c>
    </row>
    <row r="14" spans="1:11" x14ac:dyDescent="0.35">
      <c r="A14">
        <v>12</v>
      </c>
      <c r="B14" t="s">
        <v>4</v>
      </c>
      <c r="C14" t="s">
        <v>0</v>
      </c>
      <c r="D14">
        <v>-11682.104556280001</v>
      </c>
      <c r="E14" t="s">
        <v>1</v>
      </c>
      <c r="F14">
        <f t="shared" si="0"/>
        <v>5.5</v>
      </c>
      <c r="G14" t="s">
        <v>35</v>
      </c>
      <c r="H14">
        <f t="shared" si="1"/>
        <v>-3.1683800007158425E-3</v>
      </c>
    </row>
    <row r="15" spans="1:11" x14ac:dyDescent="0.35">
      <c r="A15">
        <v>13</v>
      </c>
      <c r="B15" t="s">
        <v>5</v>
      </c>
      <c r="C15" t="s">
        <v>0</v>
      </c>
      <c r="D15">
        <v>-11682.104622979999</v>
      </c>
      <c r="E15" t="s">
        <v>1</v>
      </c>
      <c r="F15">
        <f t="shared" si="0"/>
        <v>6</v>
      </c>
      <c r="G15" t="s">
        <v>35</v>
      </c>
      <c r="H15">
        <f t="shared" si="1"/>
        <v>-3.2350799992855173E-3</v>
      </c>
    </row>
    <row r="16" spans="1:11" x14ac:dyDescent="0.35">
      <c r="A16">
        <v>14</v>
      </c>
      <c r="B16" t="s">
        <v>6</v>
      </c>
      <c r="C16" t="s">
        <v>0</v>
      </c>
      <c r="D16">
        <v>-11682.10468104</v>
      </c>
      <c r="E16" t="s">
        <v>1</v>
      </c>
      <c r="F16">
        <f t="shared" si="0"/>
        <v>6.5</v>
      </c>
      <c r="G16" t="s">
        <v>35</v>
      </c>
      <c r="H16">
        <f t="shared" si="1"/>
        <v>-3.293140000096173E-3</v>
      </c>
    </row>
    <row r="17" spans="1:8" x14ac:dyDescent="0.35">
      <c r="A17">
        <v>15</v>
      </c>
      <c r="B17" t="s">
        <v>7</v>
      </c>
      <c r="C17" t="s">
        <v>0</v>
      </c>
      <c r="D17">
        <v>-11682.104733939999</v>
      </c>
      <c r="E17" t="s">
        <v>1</v>
      </c>
      <c r="F17">
        <f t="shared" si="0"/>
        <v>7</v>
      </c>
      <c r="G17" t="s">
        <v>35</v>
      </c>
      <c r="H17">
        <f t="shared" si="1"/>
        <v>-3.3460399990872247E-3</v>
      </c>
    </row>
    <row r="18" spans="1:8" x14ac:dyDescent="0.35">
      <c r="A18">
        <v>16</v>
      </c>
      <c r="B18" t="s">
        <v>8</v>
      </c>
      <c r="C18" t="s">
        <v>0</v>
      </c>
      <c r="D18">
        <v>-11682.10478009</v>
      </c>
      <c r="E18" t="s">
        <v>1</v>
      </c>
      <c r="F18">
        <f t="shared" si="0"/>
        <v>7.5</v>
      </c>
      <c r="G18" t="s">
        <v>35</v>
      </c>
      <c r="H18">
        <f t="shared" si="1"/>
        <v>-3.3921899994311389E-3</v>
      </c>
    </row>
    <row r="19" spans="1:8" x14ac:dyDescent="0.35">
      <c r="A19">
        <v>17</v>
      </c>
      <c r="B19" t="s">
        <v>9</v>
      </c>
      <c r="C19" t="s">
        <v>0</v>
      </c>
      <c r="D19">
        <v>-11682.1048221</v>
      </c>
      <c r="E19" t="s">
        <v>1</v>
      </c>
      <c r="F19">
        <f t="shared" si="0"/>
        <v>8</v>
      </c>
      <c r="G19" t="s">
        <v>35</v>
      </c>
      <c r="H19">
        <f t="shared" si="1"/>
        <v>-3.4341999999014661E-3</v>
      </c>
    </row>
    <row r="20" spans="1:8" x14ac:dyDescent="0.35">
      <c r="A20">
        <v>18</v>
      </c>
      <c r="B20" t="s">
        <v>10</v>
      </c>
      <c r="C20" t="s">
        <v>0</v>
      </c>
      <c r="D20">
        <v>-11682.104864049999</v>
      </c>
      <c r="E20" t="s">
        <v>1</v>
      </c>
      <c r="F20">
        <f t="shared" si="0"/>
        <v>8.5</v>
      </c>
      <c r="G20" t="s">
        <v>35</v>
      </c>
      <c r="H20">
        <f t="shared" si="1"/>
        <v>-3.4761499991873279E-3</v>
      </c>
    </row>
    <row r="21" spans="1:8" x14ac:dyDescent="0.35">
      <c r="A21">
        <v>20</v>
      </c>
      <c r="B21" t="s">
        <v>12</v>
      </c>
      <c r="C21" t="s">
        <v>0</v>
      </c>
      <c r="D21">
        <v>-11682.10494865</v>
      </c>
      <c r="E21" t="s">
        <v>1</v>
      </c>
      <c r="F21">
        <f t="shared" si="0"/>
        <v>9.5</v>
      </c>
      <c r="G21" t="s">
        <v>35</v>
      </c>
      <c r="H21">
        <f t="shared" si="1"/>
        <v>-3.5607499994512182E-3</v>
      </c>
    </row>
    <row r="22" spans="1:8" x14ac:dyDescent="0.35">
      <c r="A22">
        <v>21</v>
      </c>
      <c r="B22" t="s">
        <v>13</v>
      </c>
      <c r="C22" t="s">
        <v>0</v>
      </c>
      <c r="D22">
        <v>-11682.10498953</v>
      </c>
      <c r="E22" t="s">
        <v>1</v>
      </c>
      <c r="F22">
        <f t="shared" si="0"/>
        <v>10</v>
      </c>
      <c r="G22" t="s">
        <v>35</v>
      </c>
      <c r="H22">
        <f t="shared" si="1"/>
        <v>-3.601630000048317E-3</v>
      </c>
    </row>
    <row r="23" spans="1:8" x14ac:dyDescent="0.35">
      <c r="A23">
        <v>22</v>
      </c>
      <c r="B23" t="s">
        <v>14</v>
      </c>
      <c r="C23" t="s">
        <v>0</v>
      </c>
      <c r="D23">
        <v>-11682.105032400001</v>
      </c>
      <c r="E23" t="s">
        <v>1</v>
      </c>
      <c r="F23">
        <f t="shared" si="0"/>
        <v>10.5</v>
      </c>
      <c r="G23" t="s">
        <v>35</v>
      </c>
      <c r="H23">
        <f t="shared" si="1"/>
        <v>-3.6445000005187467E-3</v>
      </c>
    </row>
    <row r="24" spans="1:8" x14ac:dyDescent="0.35">
      <c r="A24">
        <v>23</v>
      </c>
      <c r="B24" t="s">
        <v>15</v>
      </c>
      <c r="C24" t="s">
        <v>0</v>
      </c>
      <c r="D24">
        <v>-11682.105077579999</v>
      </c>
      <c r="E24" t="s">
        <v>1</v>
      </c>
      <c r="F24">
        <f t="shared" si="0"/>
        <v>11</v>
      </c>
      <c r="G24" t="s">
        <v>35</v>
      </c>
      <c r="H24">
        <f t="shared" si="1"/>
        <v>-3.6896799992973683E-3</v>
      </c>
    </row>
    <row r="25" spans="1:8" x14ac:dyDescent="0.35">
      <c r="A25">
        <v>24</v>
      </c>
      <c r="B25" t="s">
        <v>16</v>
      </c>
      <c r="C25" t="s">
        <v>0</v>
      </c>
      <c r="D25">
        <v>-11682.1051267</v>
      </c>
      <c r="E25" t="s">
        <v>1</v>
      </c>
      <c r="F25">
        <f t="shared" si="0"/>
        <v>11.5</v>
      </c>
      <c r="G25" t="s">
        <v>35</v>
      </c>
      <c r="H25">
        <f t="shared" si="1"/>
        <v>-3.7388000000646571E-3</v>
      </c>
    </row>
    <row r="26" spans="1:8" x14ac:dyDescent="0.35">
      <c r="A26">
        <v>25</v>
      </c>
      <c r="B26" t="s">
        <v>17</v>
      </c>
      <c r="C26" t="s">
        <v>0</v>
      </c>
      <c r="D26">
        <v>-11682.105176839999</v>
      </c>
      <c r="E26" t="s">
        <v>1</v>
      </c>
      <c r="F26">
        <f t="shared" si="0"/>
        <v>12</v>
      </c>
      <c r="G26" t="s">
        <v>35</v>
      </c>
      <c r="H26">
        <f t="shared" si="1"/>
        <v>-3.7889399991399841E-3</v>
      </c>
    </row>
    <row r="27" spans="1:8" x14ac:dyDescent="0.35">
      <c r="A27">
        <v>26</v>
      </c>
      <c r="B27" t="s">
        <v>18</v>
      </c>
      <c r="C27" t="s">
        <v>0</v>
      </c>
      <c r="D27">
        <v>-11682.105229770001</v>
      </c>
      <c r="E27" t="s">
        <v>1</v>
      </c>
      <c r="F27">
        <f t="shared" si="0"/>
        <v>12.5</v>
      </c>
      <c r="G27" t="s">
        <v>35</v>
      </c>
      <c r="H27">
        <f t="shared" si="1"/>
        <v>-3.8418700005422579E-3</v>
      </c>
    </row>
    <row r="28" spans="1:8" x14ac:dyDescent="0.35">
      <c r="A28">
        <v>27</v>
      </c>
      <c r="B28" t="s">
        <v>19</v>
      </c>
      <c r="C28" t="s">
        <v>0</v>
      </c>
      <c r="D28">
        <v>-11682.105283340001</v>
      </c>
      <c r="E28" t="s">
        <v>1</v>
      </c>
      <c r="F28">
        <f t="shared" si="0"/>
        <v>13</v>
      </c>
      <c r="G28" t="s">
        <v>35</v>
      </c>
      <c r="H28">
        <f t="shared" si="1"/>
        <v>-3.8954400006332435E-3</v>
      </c>
    </row>
    <row r="29" spans="1:8" x14ac:dyDescent="0.35">
      <c r="A29">
        <v>28</v>
      </c>
      <c r="B29" t="s">
        <v>28</v>
      </c>
      <c r="C29" t="s">
        <v>0</v>
      </c>
      <c r="D29">
        <v>-11682.105341140001</v>
      </c>
      <c r="E29" t="s">
        <v>1</v>
      </c>
      <c r="F29">
        <f t="shared" si="0"/>
        <v>13.5</v>
      </c>
      <c r="G29" t="s">
        <v>35</v>
      </c>
      <c r="H29">
        <f t="shared" si="1"/>
        <v>-3.9532400005555246E-3</v>
      </c>
    </row>
    <row r="30" spans="1:8" x14ac:dyDescent="0.35">
      <c r="A30">
        <v>29</v>
      </c>
      <c r="B30" t="s">
        <v>29</v>
      </c>
      <c r="C30" t="s">
        <v>0</v>
      </c>
      <c r="D30">
        <v>-11682.105401569999</v>
      </c>
      <c r="E30" t="s">
        <v>1</v>
      </c>
      <c r="F30">
        <f t="shared" si="0"/>
        <v>14</v>
      </c>
      <c r="G30" t="s">
        <v>35</v>
      </c>
      <c r="H30">
        <f t="shared" si="1"/>
        <v>-4.0136699990398483E-3</v>
      </c>
    </row>
    <row r="31" spans="1:8" x14ac:dyDescent="0.35">
      <c r="A31">
        <v>30</v>
      </c>
      <c r="B31" t="s">
        <v>30</v>
      </c>
      <c r="C31" t="s">
        <v>0</v>
      </c>
      <c r="D31">
        <v>-11682.10546687</v>
      </c>
      <c r="E31" t="s">
        <v>1</v>
      </c>
      <c r="F31">
        <f t="shared" si="0"/>
        <v>14.5</v>
      </c>
      <c r="G31" t="s">
        <v>35</v>
      </c>
      <c r="H31">
        <f t="shared" si="1"/>
        <v>-4.0789699996821582E-3</v>
      </c>
    </row>
    <row r="32" spans="1:8" x14ac:dyDescent="0.35">
      <c r="A32">
        <v>32</v>
      </c>
      <c r="B32" t="s">
        <v>31</v>
      </c>
      <c r="C32" t="s">
        <v>0</v>
      </c>
      <c r="D32">
        <v>-11682.105602449999</v>
      </c>
      <c r="E32" t="s">
        <v>1</v>
      </c>
      <c r="F32">
        <f t="shared" si="0"/>
        <v>15.5</v>
      </c>
      <c r="G32" t="s">
        <v>35</v>
      </c>
      <c r="H32">
        <f t="shared" si="1"/>
        <v>-4.214549999232986E-3</v>
      </c>
    </row>
    <row r="33" spans="1:8" x14ac:dyDescent="0.35">
      <c r="A33">
        <v>33</v>
      </c>
      <c r="B33" t="s">
        <v>32</v>
      </c>
      <c r="C33" t="s">
        <v>0</v>
      </c>
      <c r="D33">
        <v>-11682.105674840001</v>
      </c>
      <c r="E33" t="s">
        <v>1</v>
      </c>
      <c r="F33">
        <f t="shared" si="0"/>
        <v>16</v>
      </c>
      <c r="G33" t="s">
        <v>35</v>
      </c>
      <c r="H33">
        <f t="shared" si="1"/>
        <v>-4.2869400003837654E-3</v>
      </c>
    </row>
    <row r="43" spans="1:8" x14ac:dyDescent="0.35">
      <c r="C43" s="1"/>
    </row>
    <row r="44" spans="1:8" x14ac:dyDescent="0.35">
      <c r="C44" s="1"/>
    </row>
  </sheetData>
  <sortState xmlns:xlrd2="http://schemas.microsoft.com/office/spreadsheetml/2017/richdata2" ref="A3:F33">
    <sortCondition ref="A3:A33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Sabeel Mohammed</dc:creator>
  <cp:lastModifiedBy>Sabeel Mohammed</cp:lastModifiedBy>
  <dcterms:created xsi:type="dcterms:W3CDTF">2026-03-10T17:07:40Z</dcterms:created>
  <dcterms:modified xsi:type="dcterms:W3CDTF">2026-03-18T20:41:44Z</dcterms:modified>
</cp:coreProperties>
</file>