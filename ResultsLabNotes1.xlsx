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AH_Absorption_Energy\"/>
    </mc:Choice>
  </mc:AlternateContent>
  <xr:revisionPtr revIDLastSave="0" documentId="13_ncr:1_{7C12E6BF-BA4B-433C-8821-A9A73ABC58C5}" xr6:coauthVersionLast="47" xr6:coauthVersionMax="47" xr10:uidLastSave="{00000000-0000-0000-0000-000000000000}"/>
  <bookViews>
    <workbookView xWindow="-110" yWindow="-110" windowWidth="25820" windowHeight="13900" xr2:uid="{B3A69202-0FF9-4B16-9A51-5D6B7CFFF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" i="1"/>
  <c r="H2" i="1"/>
  <c r="H3" i="1"/>
  <c r="H4" i="1"/>
  <c r="H5" i="1"/>
  <c r="H6" i="1"/>
  <c r="H7" i="1"/>
  <c r="H8" i="1"/>
  <c r="H9" i="1"/>
  <c r="H10" i="1"/>
  <c r="H11" i="1"/>
  <c r="H12" i="1"/>
  <c r="H13" i="1"/>
  <c r="H1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15" i="1"/>
</calcChain>
</file>

<file path=xl/sharedStrings.xml><?xml version="1.0" encoding="utf-8"?>
<sst xmlns="http://schemas.openxmlformats.org/spreadsheetml/2006/main" count="187" uniqueCount="49">
  <si>
    <t>NaphthaleneOnGlassSite3Snapshot10.out:!</t>
  </si>
  <si>
    <t>total energy</t>
  </si>
  <si>
    <t>=</t>
  </si>
  <si>
    <t>NaphthaleneOnGlassSite3Snapshot11.out:!</t>
  </si>
  <si>
    <t>NaphthaleneOnGlassSite3Snapshot13.out:!</t>
  </si>
  <si>
    <t>NaphthaleneOnGlassSite3Snapshot14.out:!</t>
  </si>
  <si>
    <t>NaphthaleneOnGlassSite3Snapshot15.out:!</t>
  </si>
  <si>
    <t>NaphthaleneOnGlassSite3Snapshot16.out:!</t>
  </si>
  <si>
    <t>NaphthaleneOnGlassSite3Snapshot17.out:!</t>
  </si>
  <si>
    <t>NaphthaleneOnGlassSite3Snapshot1.out:!</t>
  </si>
  <si>
    <t>NaphthaleneOnGlassSite3Snapshot2.out:!</t>
  </si>
  <si>
    <t>NaphthaleneOnGlassSite3Snapshot4.out:!</t>
  </si>
  <si>
    <t>NaphthaleneOnGlassSite3Snapshot5.out:!</t>
  </si>
  <si>
    <t>NaphthaleneOnGlassSite3Snapshot7.out:!</t>
  </si>
  <si>
    <t>NaphthaleneOnGlassSite3Snapshot9.out:!</t>
  </si>
  <si>
    <t>Ry</t>
  </si>
  <si>
    <t>NaphthaleneOnGlassSite2Snapshot10.out:!</t>
  </si>
  <si>
    <t>total</t>
  </si>
  <si>
    <t>energy</t>
  </si>
  <si>
    <t>NaphthaleneOnGlassSite2Snapshot11.out:!</t>
  </si>
  <si>
    <t>NaphthaleneOnGlassSite2Snapshot12.out:!</t>
  </si>
  <si>
    <t>NaphthaleneOnGlassSite2Snapshot13.out:!</t>
  </si>
  <si>
    <t>NaphthaleneOnGlassSite2Snapshot14.out:!</t>
  </si>
  <si>
    <t>NaphthaleneOnGlassSite2Snapshot15.out:!</t>
  </si>
  <si>
    <t>NaphthaleneOnGlassSite2Snapshot16.out:!</t>
  </si>
  <si>
    <t>NaphthaleneOnGlassSite2Snapshot17.out:!</t>
  </si>
  <si>
    <t>NaphthaleneOnGlassSite2Snapshot18.out:!</t>
  </si>
  <si>
    <t>NaphthaleneOnGlassSite2Snapshot1.out:!</t>
  </si>
  <si>
    <t>NaphthaleneOnGlassSite2Snapshot20.out:!</t>
  </si>
  <si>
    <t>NaphthaleneOnGlassSite2Snapshot21.out:!</t>
  </si>
  <si>
    <t>NaphthaleneOnGlassSite2Snapshot22.out:!</t>
  </si>
  <si>
    <t>NaphthaleneOnGlassSite2Snapshot23.out:!</t>
  </si>
  <si>
    <t>NaphthaleneOnGlassSite2Snapshot24.out:!</t>
  </si>
  <si>
    <t>NaphthaleneOnGlassSite2Snapshot25.out:!</t>
  </si>
  <si>
    <t>NaphthaleneOnGlassSite2Snapshot26.out:!</t>
  </si>
  <si>
    <t>NaphthaleneOnGlassSite2Snapshot27.out:!</t>
  </si>
  <si>
    <t>NaphthaleneOnGlassSite2Snapshot2.out:!</t>
  </si>
  <si>
    <t>NaphthaleneOnGlassSite2Snapshot3.out:!</t>
  </si>
  <si>
    <t>NaphthaleneOnGlassSite2Snapshot4.out:!</t>
  </si>
  <si>
    <t>NaphthaleneOnGlassSite2Snapshot5.out:!</t>
  </si>
  <si>
    <t>NaphthaleneOnGlassSite2Snapshot6.out:!</t>
  </si>
  <si>
    <t>NaphthaleneOnGlassSite2Snapshot7.out:!</t>
  </si>
  <si>
    <t>NaphthaleneOnGlassSite2Snapshot8.out:!</t>
  </si>
  <si>
    <t>NaphthaleneOnGlassSite2Snapshot9.out:!</t>
  </si>
  <si>
    <t>The surface accommodation coefficient α to calculate the adsorption flux from gas-phase collisions</t>
  </si>
  <si>
    <t>The desorption lifetime τ_d to calculate the desorption flux back to the gas phase</t>
  </si>
  <si>
    <t>The partition coefficient to determine steady-state surface coverage</t>
  </si>
  <si>
    <t>The equilibrium adsorption distance z0</t>
  </si>
  <si>
    <t>ΔG_ads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</si>
</sst>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Energy vs Distance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Sheet1!$H$16:$H$40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xVal>
          <c:yVal>
            <c:numRef>
              <c:f>Sheet1!$F$16:$F$40</c:f>
              <c:numCache>
                <c:formatCode>General</c:formatCode>
                <c:ptCount val="25"/>
                <c:pt idx="0">
                  <c:v>-11682.098839980001</c:v>
                </c:pt>
                <c:pt idx="1">
                  <c:v>-11682.10694849</c:v>
                </c:pt>
                <c:pt idx="2">
                  <c:v>-11682.106994010001</c:v>
                </c:pt>
                <c:pt idx="3">
                  <c:v>-11682.105942910001</c:v>
                </c:pt>
                <c:pt idx="4">
                  <c:v>-11682.105159819999</c:v>
                </c:pt>
                <c:pt idx="5">
                  <c:v>-11682.10470188</c:v>
                </c:pt>
                <c:pt idx="6">
                  <c:v>-11682.10448932</c:v>
                </c:pt>
                <c:pt idx="7">
                  <c:v>-11682.104422840001</c:v>
                </c:pt>
                <c:pt idx="8">
                  <c:v>-11682.10443734</c:v>
                </c:pt>
                <c:pt idx="9">
                  <c:v>-11682.10449147</c:v>
                </c:pt>
                <c:pt idx="10">
                  <c:v>-11682.104556280001</c:v>
                </c:pt>
                <c:pt idx="11">
                  <c:v>-11682.104622979999</c:v>
                </c:pt>
                <c:pt idx="12">
                  <c:v>-11682.10468104</c:v>
                </c:pt>
                <c:pt idx="13">
                  <c:v>-11682.104733939999</c:v>
                </c:pt>
                <c:pt idx="14">
                  <c:v>-11682.10478009</c:v>
                </c:pt>
                <c:pt idx="15">
                  <c:v>-11682.1048221</c:v>
                </c:pt>
                <c:pt idx="16">
                  <c:v>-11682.104864049999</c:v>
                </c:pt>
                <c:pt idx="17">
                  <c:v>-11682.10494865</c:v>
                </c:pt>
                <c:pt idx="18">
                  <c:v>-11682.10498953</c:v>
                </c:pt>
                <c:pt idx="19">
                  <c:v>-11682.105032400001</c:v>
                </c:pt>
                <c:pt idx="20">
                  <c:v>-11682.105077579999</c:v>
                </c:pt>
                <c:pt idx="21">
                  <c:v>-11682.1051267</c:v>
                </c:pt>
                <c:pt idx="22">
                  <c:v>-11682.105176839999</c:v>
                </c:pt>
                <c:pt idx="23">
                  <c:v>-11682.105229770001</c:v>
                </c:pt>
                <c:pt idx="24">
                  <c:v>-11682.105283340001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9B-42DC-842B-79BBE138A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500319"/>
        <c:axId val="1435483999"/>
      </c:scatterChart>
      <c:valAx>
        <c:axId val="1435500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Delta Angstroms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483999"/>
        <c:crosses val="autoZero"/>
        <c:crossBetween val="midCat"/>
      </c:valAx>
      <c:valAx>
        <c:axId val="143548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Energy</a:t>
                </a:r>
                <a:r>
                  <a:rPr lang="en-US" baseline="0"/>
                  <a:t> Rydberg</a:t>
                </a:r>
              </a:p>
            </c:rich>
          </c:tx>
          <c:layout>
            <c:manualLayout>
              <c:xMode val="edge"/>
              <c:yMode val="edge"/>
              <c:x val="5.5555555555555558E-3"/>
              <c:y val="0.458564814814814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00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Sheet1!$H$16:$H$40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</c:numCache>
            </c:numRef>
          </c:xVal>
          <c:yVal>
            <c:numRef>
              <c:f>Sheet1!$I$16:$I$40</c:f>
              <c:numCache>
                <c:formatCode>General</c:formatCode>
                <c:ptCount val="25"/>
                <c:pt idx="0">
                  <c:v>-9.883998000077554E-2</c:v>
                </c:pt>
                <c:pt idx="1">
                  <c:v>-0.10694848999992246</c:v>
                </c:pt>
                <c:pt idx="2">
                  <c:v>-0.10699401000056241</c:v>
                </c:pt>
                <c:pt idx="3">
                  <c:v>-0.10594291000052181</c:v>
                </c:pt>
                <c:pt idx="4">
                  <c:v>-0.10515981999924406</c:v>
                </c:pt>
                <c:pt idx="5">
                  <c:v>-0.10470187999999325</c:v>
                </c:pt>
                <c:pt idx="6">
                  <c:v>-0.10448931999962952</c:v>
                </c:pt>
                <c:pt idx="7">
                  <c:v>-0.10442284000055224</c:v>
                </c:pt>
                <c:pt idx="8">
                  <c:v>-0.10443734000000404</c:v>
                </c:pt>
                <c:pt idx="9">
                  <c:v>-0.10449146999962977</c:v>
                </c:pt>
                <c:pt idx="10">
                  <c:v>-0.10455628000090655</c:v>
                </c:pt>
                <c:pt idx="11">
                  <c:v>-0.10462297999947623</c:v>
                </c:pt>
                <c:pt idx="12">
                  <c:v>-0.10468104000028688</c:v>
                </c:pt>
                <c:pt idx="13">
                  <c:v>-0.10473393999927794</c:v>
                </c:pt>
                <c:pt idx="14">
                  <c:v>-0.10478008999962185</c:v>
                </c:pt>
                <c:pt idx="15">
                  <c:v>-0.10482210000009218</c:v>
                </c:pt>
                <c:pt idx="16">
                  <c:v>-0.10486404999937804</c:v>
                </c:pt>
                <c:pt idx="17">
                  <c:v>-0.10494864999964193</c:v>
                </c:pt>
                <c:pt idx="18">
                  <c:v>-0.10498953000023903</c:v>
                </c:pt>
                <c:pt idx="19">
                  <c:v>-0.10503240000070946</c:v>
                </c:pt>
                <c:pt idx="20">
                  <c:v>-0.10507757999948808</c:v>
                </c:pt>
                <c:pt idx="21">
                  <c:v>-0.10512670000025537</c:v>
                </c:pt>
                <c:pt idx="22">
                  <c:v>-0.1051768399993307</c:v>
                </c:pt>
                <c:pt idx="23">
                  <c:v>-0.10522977000073297</c:v>
                </c:pt>
                <c:pt idx="24">
                  <c:v>-0.10528334000082396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4-4C75-912F-F46B6F1FB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516639"/>
        <c:axId val="1435525279"/>
      </c:scatterChart>
      <c:valAx>
        <c:axId val="1435516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25279"/>
        <c:crosses val="autoZero"/>
        <c:crossBetween val="midCat"/>
      </c:valAx>
      <c:valAx>
        <c:axId val="1435525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16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Sheet1!$H$1:$H$13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1.5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4.5</c:v>
                </c:pt>
                <c:pt idx="7">
                  <c:v>5</c:v>
                </c:pt>
                <c:pt idx="8">
                  <c:v>6</c:v>
                </c:pt>
                <c:pt idx="9">
                  <c:v>6.5</c:v>
                </c:pt>
                <c:pt idx="10">
                  <c:v>7</c:v>
                </c:pt>
                <c:pt idx="11">
                  <c:v>7.5</c:v>
                </c:pt>
                <c:pt idx="12">
                  <c:v>8</c:v>
                </c:pt>
              </c:numCache>
            </c:numRef>
          </c:xVal>
          <c:yVal>
            <c:numRef>
              <c:f>Sheet1!$I$1:$I$13</c:f>
              <c:numCache>
                <c:formatCode>General</c:formatCode>
                <c:ptCount val="13"/>
                <c:pt idx="0">
                  <c:v>-0.16101460999925621</c:v>
                </c:pt>
                <c:pt idx="1">
                  <c:v>-0.15877600999920105</c:v>
                </c:pt>
                <c:pt idx="2">
                  <c:v>-0.13705993999974453</c:v>
                </c:pt>
                <c:pt idx="3">
                  <c:v>-0.13027460999910545</c:v>
                </c:pt>
                <c:pt idx="4">
                  <c:v>-0.12271139000040421</c:v>
                </c:pt>
                <c:pt idx="5">
                  <c:v>-0.11882279999917955</c:v>
                </c:pt>
                <c:pt idx="6">
                  <c:v>-0.11749394000071334</c:v>
                </c:pt>
                <c:pt idx="7">
                  <c:v>-0.11640283999986423</c:v>
                </c:pt>
                <c:pt idx="8">
                  <c:v>-0.11468428999978642</c:v>
                </c:pt>
                <c:pt idx="9">
                  <c:v>-0.11398021000059089</c:v>
                </c:pt>
                <c:pt idx="10">
                  <c:v>-0.11335207999945851</c:v>
                </c:pt>
                <c:pt idx="11">
                  <c:v>-0.11278970000057598</c:v>
                </c:pt>
                <c:pt idx="12">
                  <c:v>-0.11228603999916231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4B-4901-8602-BB89219CF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533439"/>
        <c:axId val="1435540639"/>
      </c:scatterChart>
      <c:valAx>
        <c:axId val="143553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40639"/>
        <c:crosses val="autoZero"/>
        <c:crossBetween val="midCat"/>
      </c:valAx>
      <c:valAx>
        <c:axId val="143554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53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3175</xdr:colOff>
      <xdr:row>14</xdr:row>
      <xdr:rowOff>139700</xdr:rowOff>
    </xdr:from>
    <xdr:to>
      <xdr:col>16</xdr:col>
      <xdr:colOff>307975</xdr:colOff>
      <xdr:row>29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493C5-FC3A-251D-DD50-BE9F4D5F8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600075</xdr:colOff>
      <xdr:row>0</xdr:row>
      <xdr:rowOff>0</xdr:rowOff>
    </xdr:from>
    <xdr:to>
      <xdr:col>16</xdr:col>
      <xdr:colOff>295275</xdr:colOff>
      <xdr:row>14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86EDFD9-403B-05B3-1E46-D5F24D33C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606425</xdr:colOff>
      <xdr:row>0</xdr:row>
      <xdr:rowOff>0</xdr:rowOff>
    </xdr:from>
    <xdr:to>
      <xdr:col>16</xdr:col>
      <xdr:colOff>301625</xdr:colOff>
      <xdr:row>14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6DBDF67-184E-2645-9852-E198FF4CE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38101</xdr:colOff>
      <xdr:row>30</xdr:row>
      <xdr:rowOff>1</xdr:rowOff>
    </xdr:from>
    <xdr:to>
      <xdr:col>16</xdr:col>
      <xdr:colOff>330200</xdr:colOff>
      <xdr:row>42</xdr:row>
      <xdr:rowOff>142766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EF7DB4-8E31-E108-FCF3-BB80DFB7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49051" y="5524501"/>
          <a:ext cx="4559299" cy="2352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50E0-3D4D-4718-AB5E-B5F3FCFB9BF8}">
  <dimension ref="A1:I47"/>
  <sheetViews>
    <sheetView tabSelected="1" topLeftCell="B21" zoomScaleNormal="100" workbookViewId="0">
      <selection activeCell="R44" sqref="R44"/>
    </sheetView>
  </sheetViews>
  <sheetFormatPr defaultRowHeight="14.5" x14ac:dyDescent="0.35"/>
  <cols>
    <col min="2" max="2" width="46.6328125" customWidth="1"/>
    <col min="3" max="3" width="21.08984375" customWidth="1"/>
    <col min="5" max="5" width="22.26953125" customWidth="1"/>
    <col min="6" max="6" width="29.7265625" customWidth="1"/>
  </cols>
  <sheetData>
    <row r="1" spans="1:9" x14ac:dyDescent="0.35">
      <c r="A1">
        <v>1</v>
      </c>
      <c r="B1" t="s">
        <v>9</v>
      </c>
      <c r="C1" t="s">
        <v>1</v>
      </c>
      <c r="D1" t="s">
        <v>2</v>
      </c>
      <c r="E1">
        <v>-11682.161014609999</v>
      </c>
      <c r="F1" t="s">
        <v>15</v>
      </c>
      <c r="H1">
        <f>A1*0.5-0.5</f>
        <v>0</v>
      </c>
      <c r="I1">
        <f>E1+11682</f>
        <v>-0.16101460999925621</v>
      </c>
    </row>
    <row r="2" spans="1:9" x14ac:dyDescent="0.35">
      <c r="A2">
        <v>2</v>
      </c>
      <c r="B2" t="s">
        <v>10</v>
      </c>
      <c r="C2" t="s">
        <v>1</v>
      </c>
      <c r="D2" t="s">
        <v>2</v>
      </c>
      <c r="E2">
        <v>-11682.158776009999</v>
      </c>
      <c r="F2" t="s">
        <v>15</v>
      </c>
      <c r="H2">
        <f t="shared" ref="H2:H13" si="0">A2*0.5-0.5</f>
        <v>0.5</v>
      </c>
      <c r="I2">
        <f t="shared" ref="I2:I13" si="1">E2+11682</f>
        <v>-0.15877600999920105</v>
      </c>
    </row>
    <row r="3" spans="1:9" x14ac:dyDescent="0.35">
      <c r="A3">
        <v>4</v>
      </c>
      <c r="B3" t="s">
        <v>11</v>
      </c>
      <c r="C3" t="s">
        <v>1</v>
      </c>
      <c r="D3" t="s">
        <v>2</v>
      </c>
      <c r="E3">
        <v>-11682.13705994</v>
      </c>
      <c r="F3" t="s">
        <v>15</v>
      </c>
      <c r="H3">
        <f t="shared" si="0"/>
        <v>1.5</v>
      </c>
      <c r="I3">
        <f t="shared" si="1"/>
        <v>-0.13705993999974453</v>
      </c>
    </row>
    <row r="4" spans="1:9" x14ac:dyDescent="0.35">
      <c r="A4">
        <v>5</v>
      </c>
      <c r="B4" t="s">
        <v>12</v>
      </c>
      <c r="C4" t="s">
        <v>1</v>
      </c>
      <c r="D4" t="s">
        <v>2</v>
      </c>
      <c r="E4">
        <v>-11682.130274609999</v>
      </c>
      <c r="F4" t="s">
        <v>15</v>
      </c>
      <c r="H4">
        <f t="shared" si="0"/>
        <v>2</v>
      </c>
      <c r="I4">
        <f t="shared" si="1"/>
        <v>-0.13027460999910545</v>
      </c>
    </row>
    <row r="5" spans="1:9" x14ac:dyDescent="0.35">
      <c r="A5">
        <v>7</v>
      </c>
      <c r="B5" t="s">
        <v>13</v>
      </c>
      <c r="C5" t="s">
        <v>1</v>
      </c>
      <c r="D5" t="s">
        <v>2</v>
      </c>
      <c r="E5">
        <v>-11682.12271139</v>
      </c>
      <c r="F5" t="s">
        <v>15</v>
      </c>
      <c r="H5">
        <f t="shared" si="0"/>
        <v>3</v>
      </c>
      <c r="I5">
        <f t="shared" si="1"/>
        <v>-0.12271139000040421</v>
      </c>
    </row>
    <row r="6" spans="1:9" x14ac:dyDescent="0.35">
      <c r="A6">
        <v>9</v>
      </c>
      <c r="B6" t="s">
        <v>14</v>
      </c>
      <c r="C6" t="s">
        <v>1</v>
      </c>
      <c r="D6" t="s">
        <v>2</v>
      </c>
      <c r="E6">
        <v>-11682.118822799999</v>
      </c>
      <c r="F6" t="s">
        <v>15</v>
      </c>
      <c r="H6">
        <f t="shared" si="0"/>
        <v>4</v>
      </c>
      <c r="I6">
        <f t="shared" si="1"/>
        <v>-0.11882279999917955</v>
      </c>
    </row>
    <row r="7" spans="1:9" x14ac:dyDescent="0.35">
      <c r="A7">
        <v>10</v>
      </c>
      <c r="B7" t="s">
        <v>0</v>
      </c>
      <c r="C7" t="s">
        <v>1</v>
      </c>
      <c r="D7" t="s">
        <v>2</v>
      </c>
      <c r="E7">
        <v>-11682.117493940001</v>
      </c>
      <c r="F7" t="s">
        <v>15</v>
      </c>
      <c r="H7">
        <f t="shared" si="0"/>
        <v>4.5</v>
      </c>
      <c r="I7">
        <f t="shared" si="1"/>
        <v>-0.11749394000071334</v>
      </c>
    </row>
    <row r="8" spans="1:9" x14ac:dyDescent="0.35">
      <c r="A8">
        <v>11</v>
      </c>
      <c r="B8" t="s">
        <v>3</v>
      </c>
      <c r="C8" t="s">
        <v>1</v>
      </c>
      <c r="D8" t="s">
        <v>2</v>
      </c>
      <c r="E8">
        <v>-11682.11640284</v>
      </c>
      <c r="F8" t="s">
        <v>15</v>
      </c>
      <c r="H8">
        <f t="shared" si="0"/>
        <v>5</v>
      </c>
      <c r="I8">
        <f t="shared" si="1"/>
        <v>-0.11640283999986423</v>
      </c>
    </row>
    <row r="9" spans="1:9" x14ac:dyDescent="0.35">
      <c r="A9">
        <v>13</v>
      </c>
      <c r="B9" t="s">
        <v>4</v>
      </c>
      <c r="C9" t="s">
        <v>1</v>
      </c>
      <c r="D9" t="s">
        <v>2</v>
      </c>
      <c r="E9">
        <v>-11682.11468429</v>
      </c>
      <c r="F9" t="s">
        <v>15</v>
      </c>
      <c r="H9">
        <f t="shared" si="0"/>
        <v>6</v>
      </c>
      <c r="I9">
        <f t="shared" si="1"/>
        <v>-0.11468428999978642</v>
      </c>
    </row>
    <row r="10" spans="1:9" x14ac:dyDescent="0.35">
      <c r="A10">
        <v>14</v>
      </c>
      <c r="B10" t="s">
        <v>5</v>
      </c>
      <c r="C10" t="s">
        <v>1</v>
      </c>
      <c r="D10" t="s">
        <v>2</v>
      </c>
      <c r="E10">
        <v>-11682.113980210001</v>
      </c>
      <c r="F10" t="s">
        <v>15</v>
      </c>
      <c r="H10">
        <f t="shared" si="0"/>
        <v>6.5</v>
      </c>
      <c r="I10">
        <f t="shared" si="1"/>
        <v>-0.11398021000059089</v>
      </c>
    </row>
    <row r="11" spans="1:9" x14ac:dyDescent="0.35">
      <c r="A11">
        <v>15</v>
      </c>
      <c r="B11" t="s">
        <v>6</v>
      </c>
      <c r="C11" t="s">
        <v>1</v>
      </c>
      <c r="D11" t="s">
        <v>2</v>
      </c>
      <c r="E11">
        <v>-11682.113352079999</v>
      </c>
      <c r="F11" t="s">
        <v>15</v>
      </c>
      <c r="H11">
        <f t="shared" si="0"/>
        <v>7</v>
      </c>
      <c r="I11">
        <f t="shared" si="1"/>
        <v>-0.11335207999945851</v>
      </c>
    </row>
    <row r="12" spans="1:9" x14ac:dyDescent="0.35">
      <c r="A12">
        <v>16</v>
      </c>
      <c r="B12" t="s">
        <v>7</v>
      </c>
      <c r="C12" t="s">
        <v>1</v>
      </c>
      <c r="D12" t="s">
        <v>2</v>
      </c>
      <c r="E12">
        <v>-11682.112789700001</v>
      </c>
      <c r="F12" t="s">
        <v>15</v>
      </c>
      <c r="H12">
        <f t="shared" si="0"/>
        <v>7.5</v>
      </c>
      <c r="I12">
        <f t="shared" si="1"/>
        <v>-0.11278970000057598</v>
      </c>
    </row>
    <row r="13" spans="1:9" x14ac:dyDescent="0.35">
      <c r="A13">
        <v>17</v>
      </c>
      <c r="B13" t="s">
        <v>8</v>
      </c>
      <c r="C13" t="s">
        <v>1</v>
      </c>
      <c r="D13" t="s">
        <v>2</v>
      </c>
      <c r="E13">
        <v>-11682.112286039999</v>
      </c>
      <c r="F13" t="s">
        <v>15</v>
      </c>
      <c r="H13">
        <f t="shared" si="0"/>
        <v>8</v>
      </c>
      <c r="I13">
        <f t="shared" si="1"/>
        <v>-0.11228603999916231</v>
      </c>
    </row>
    <row r="15" spans="1:9" x14ac:dyDescent="0.35">
      <c r="A15">
        <v>1</v>
      </c>
      <c r="B15" t="s">
        <v>27</v>
      </c>
      <c r="C15" t="s">
        <v>17</v>
      </c>
      <c r="D15" t="s">
        <v>18</v>
      </c>
      <c r="E15" t="s">
        <v>2</v>
      </c>
      <c r="F15">
        <v>-11682.062615160001</v>
      </c>
      <c r="G15" t="s">
        <v>15</v>
      </c>
      <c r="H15">
        <v>0</v>
      </c>
      <c r="I15">
        <f>F15+11682</f>
        <v>-6.261516000085976E-2</v>
      </c>
    </row>
    <row r="16" spans="1:9" x14ac:dyDescent="0.35">
      <c r="A16">
        <v>2</v>
      </c>
      <c r="B16" t="s">
        <v>36</v>
      </c>
      <c r="C16" t="s">
        <v>17</v>
      </c>
      <c r="D16" t="s">
        <v>18</v>
      </c>
      <c r="E16" t="s">
        <v>2</v>
      </c>
      <c r="F16">
        <v>-11682.098839980001</v>
      </c>
      <c r="G16" t="s">
        <v>15</v>
      </c>
      <c r="H16">
        <v>0.5</v>
      </c>
      <c r="I16">
        <f t="shared" ref="I16:I40" si="2">F16+11682</f>
        <v>-9.883998000077554E-2</v>
      </c>
    </row>
    <row r="17" spans="1:9" x14ac:dyDescent="0.35">
      <c r="A17">
        <v>3</v>
      </c>
      <c r="B17" t="s">
        <v>37</v>
      </c>
      <c r="C17" t="s">
        <v>17</v>
      </c>
      <c r="D17" t="s">
        <v>18</v>
      </c>
      <c r="E17" t="s">
        <v>2</v>
      </c>
      <c r="F17">
        <v>-11682.10694849</v>
      </c>
      <c r="G17" t="s">
        <v>15</v>
      </c>
      <c r="H17">
        <v>1</v>
      </c>
      <c r="I17">
        <f t="shared" si="2"/>
        <v>-0.10694848999992246</v>
      </c>
    </row>
    <row r="18" spans="1:9" x14ac:dyDescent="0.35">
      <c r="A18">
        <v>4</v>
      </c>
      <c r="B18" t="s">
        <v>38</v>
      </c>
      <c r="C18" t="s">
        <v>17</v>
      </c>
      <c r="D18" t="s">
        <v>18</v>
      </c>
      <c r="E18" t="s">
        <v>2</v>
      </c>
      <c r="F18">
        <v>-11682.106994010001</v>
      </c>
      <c r="G18" t="s">
        <v>15</v>
      </c>
      <c r="H18">
        <v>1.5</v>
      </c>
      <c r="I18">
        <f t="shared" si="2"/>
        <v>-0.10699401000056241</v>
      </c>
    </row>
    <row r="19" spans="1:9" x14ac:dyDescent="0.35">
      <c r="A19">
        <v>5</v>
      </c>
      <c r="B19" t="s">
        <v>39</v>
      </c>
      <c r="C19" t="s">
        <v>17</v>
      </c>
      <c r="D19" t="s">
        <v>18</v>
      </c>
      <c r="E19" t="s">
        <v>2</v>
      </c>
      <c r="F19">
        <v>-11682.105942910001</v>
      </c>
      <c r="G19" t="s">
        <v>15</v>
      </c>
      <c r="H19">
        <v>2</v>
      </c>
      <c r="I19">
        <f t="shared" si="2"/>
        <v>-0.10594291000052181</v>
      </c>
    </row>
    <row r="20" spans="1:9" x14ac:dyDescent="0.35">
      <c r="A20">
        <v>6</v>
      </c>
      <c r="B20" t="s">
        <v>40</v>
      </c>
      <c r="C20" t="s">
        <v>17</v>
      </c>
      <c r="D20" t="s">
        <v>18</v>
      </c>
      <c r="E20" t="s">
        <v>2</v>
      </c>
      <c r="F20">
        <v>-11682.105159819999</v>
      </c>
      <c r="G20" t="s">
        <v>15</v>
      </c>
      <c r="H20">
        <v>2.5</v>
      </c>
      <c r="I20">
        <f t="shared" si="2"/>
        <v>-0.10515981999924406</v>
      </c>
    </row>
    <row r="21" spans="1:9" x14ac:dyDescent="0.35">
      <c r="A21">
        <v>7</v>
      </c>
      <c r="B21" t="s">
        <v>41</v>
      </c>
      <c r="C21" t="s">
        <v>17</v>
      </c>
      <c r="D21" t="s">
        <v>18</v>
      </c>
      <c r="E21" t="s">
        <v>2</v>
      </c>
      <c r="F21">
        <v>-11682.10470188</v>
      </c>
      <c r="G21" t="s">
        <v>15</v>
      </c>
      <c r="H21">
        <v>3</v>
      </c>
      <c r="I21">
        <f t="shared" si="2"/>
        <v>-0.10470187999999325</v>
      </c>
    </row>
    <row r="22" spans="1:9" x14ac:dyDescent="0.35">
      <c r="A22">
        <v>8</v>
      </c>
      <c r="B22" t="s">
        <v>42</v>
      </c>
      <c r="C22" t="s">
        <v>17</v>
      </c>
      <c r="D22" t="s">
        <v>18</v>
      </c>
      <c r="E22" t="s">
        <v>2</v>
      </c>
      <c r="F22">
        <v>-11682.10448932</v>
      </c>
      <c r="G22" t="s">
        <v>15</v>
      </c>
      <c r="H22">
        <v>3.5</v>
      </c>
      <c r="I22">
        <f t="shared" si="2"/>
        <v>-0.10448931999962952</v>
      </c>
    </row>
    <row r="23" spans="1:9" x14ac:dyDescent="0.35">
      <c r="A23">
        <v>9</v>
      </c>
      <c r="B23" t="s">
        <v>43</v>
      </c>
      <c r="C23" t="s">
        <v>17</v>
      </c>
      <c r="D23" t="s">
        <v>18</v>
      </c>
      <c r="E23" t="s">
        <v>2</v>
      </c>
      <c r="F23">
        <v>-11682.104422840001</v>
      </c>
      <c r="G23" t="s">
        <v>15</v>
      </c>
      <c r="H23">
        <v>4</v>
      </c>
      <c r="I23">
        <f t="shared" si="2"/>
        <v>-0.10442284000055224</v>
      </c>
    </row>
    <row r="24" spans="1:9" x14ac:dyDescent="0.35">
      <c r="A24">
        <v>10</v>
      </c>
      <c r="B24" t="s">
        <v>16</v>
      </c>
      <c r="C24" t="s">
        <v>17</v>
      </c>
      <c r="D24" t="s">
        <v>18</v>
      </c>
      <c r="E24" t="s">
        <v>2</v>
      </c>
      <c r="F24">
        <v>-11682.10443734</v>
      </c>
      <c r="G24" t="s">
        <v>15</v>
      </c>
      <c r="H24">
        <v>4.5</v>
      </c>
      <c r="I24">
        <f t="shared" si="2"/>
        <v>-0.10443734000000404</v>
      </c>
    </row>
    <row r="25" spans="1:9" x14ac:dyDescent="0.35">
      <c r="A25">
        <v>11</v>
      </c>
      <c r="B25" t="s">
        <v>19</v>
      </c>
      <c r="C25" t="s">
        <v>17</v>
      </c>
      <c r="D25" t="s">
        <v>18</v>
      </c>
      <c r="E25" t="s">
        <v>2</v>
      </c>
      <c r="F25">
        <v>-11682.10449147</v>
      </c>
      <c r="G25" t="s">
        <v>15</v>
      </c>
      <c r="H25">
        <v>5</v>
      </c>
      <c r="I25">
        <f t="shared" si="2"/>
        <v>-0.10449146999962977</v>
      </c>
    </row>
    <row r="26" spans="1:9" x14ac:dyDescent="0.35">
      <c r="A26">
        <v>12</v>
      </c>
      <c r="B26" t="s">
        <v>20</v>
      </c>
      <c r="C26" t="s">
        <v>17</v>
      </c>
      <c r="D26" t="s">
        <v>18</v>
      </c>
      <c r="E26" t="s">
        <v>2</v>
      </c>
      <c r="F26">
        <v>-11682.104556280001</v>
      </c>
      <c r="G26" t="s">
        <v>15</v>
      </c>
      <c r="H26">
        <v>5.5</v>
      </c>
      <c r="I26">
        <f t="shared" si="2"/>
        <v>-0.10455628000090655</v>
      </c>
    </row>
    <row r="27" spans="1:9" x14ac:dyDescent="0.35">
      <c r="A27">
        <v>13</v>
      </c>
      <c r="B27" t="s">
        <v>21</v>
      </c>
      <c r="C27" t="s">
        <v>17</v>
      </c>
      <c r="D27" t="s">
        <v>18</v>
      </c>
      <c r="E27" t="s">
        <v>2</v>
      </c>
      <c r="F27">
        <v>-11682.104622979999</v>
      </c>
      <c r="G27" t="s">
        <v>15</v>
      </c>
      <c r="H27">
        <v>6</v>
      </c>
      <c r="I27">
        <f t="shared" si="2"/>
        <v>-0.10462297999947623</v>
      </c>
    </row>
    <row r="28" spans="1:9" x14ac:dyDescent="0.35">
      <c r="A28">
        <v>14</v>
      </c>
      <c r="B28" t="s">
        <v>22</v>
      </c>
      <c r="C28" t="s">
        <v>17</v>
      </c>
      <c r="D28" t="s">
        <v>18</v>
      </c>
      <c r="E28" t="s">
        <v>2</v>
      </c>
      <c r="F28">
        <v>-11682.10468104</v>
      </c>
      <c r="G28" t="s">
        <v>15</v>
      </c>
      <c r="H28">
        <v>6.5</v>
      </c>
      <c r="I28">
        <f t="shared" si="2"/>
        <v>-0.10468104000028688</v>
      </c>
    </row>
    <row r="29" spans="1:9" x14ac:dyDescent="0.35">
      <c r="A29">
        <v>15</v>
      </c>
      <c r="B29" t="s">
        <v>23</v>
      </c>
      <c r="C29" t="s">
        <v>17</v>
      </c>
      <c r="D29" t="s">
        <v>18</v>
      </c>
      <c r="E29" t="s">
        <v>2</v>
      </c>
      <c r="F29">
        <v>-11682.104733939999</v>
      </c>
      <c r="G29" t="s">
        <v>15</v>
      </c>
      <c r="H29">
        <v>7</v>
      </c>
      <c r="I29">
        <f t="shared" si="2"/>
        <v>-0.10473393999927794</v>
      </c>
    </row>
    <row r="30" spans="1:9" x14ac:dyDescent="0.35">
      <c r="A30">
        <v>16</v>
      </c>
      <c r="B30" t="s">
        <v>24</v>
      </c>
      <c r="C30" t="s">
        <v>17</v>
      </c>
      <c r="D30" t="s">
        <v>18</v>
      </c>
      <c r="E30" t="s">
        <v>2</v>
      </c>
      <c r="F30">
        <v>-11682.10478009</v>
      </c>
      <c r="G30" t="s">
        <v>15</v>
      </c>
      <c r="H30">
        <v>7.5</v>
      </c>
      <c r="I30">
        <f t="shared" si="2"/>
        <v>-0.10478008999962185</v>
      </c>
    </row>
    <row r="31" spans="1:9" x14ac:dyDescent="0.35">
      <c r="A31">
        <v>17</v>
      </c>
      <c r="B31" t="s">
        <v>25</v>
      </c>
      <c r="C31" t="s">
        <v>17</v>
      </c>
      <c r="D31" t="s">
        <v>18</v>
      </c>
      <c r="E31" t="s">
        <v>2</v>
      </c>
      <c r="F31">
        <v>-11682.1048221</v>
      </c>
      <c r="G31" t="s">
        <v>15</v>
      </c>
      <c r="H31">
        <v>8</v>
      </c>
      <c r="I31">
        <f t="shared" si="2"/>
        <v>-0.10482210000009218</v>
      </c>
    </row>
    <row r="32" spans="1:9" x14ac:dyDescent="0.35">
      <c r="A32">
        <v>18</v>
      </c>
      <c r="B32" t="s">
        <v>26</v>
      </c>
      <c r="C32" t="s">
        <v>17</v>
      </c>
      <c r="D32" t="s">
        <v>18</v>
      </c>
      <c r="E32" t="s">
        <v>2</v>
      </c>
      <c r="F32">
        <v>-11682.104864049999</v>
      </c>
      <c r="G32" t="s">
        <v>15</v>
      </c>
      <c r="H32">
        <v>8.5</v>
      </c>
      <c r="I32">
        <f t="shared" si="2"/>
        <v>-0.10486404999937804</v>
      </c>
    </row>
    <row r="33" spans="1:9" x14ac:dyDescent="0.35">
      <c r="A33">
        <v>20</v>
      </c>
      <c r="B33" t="s">
        <v>28</v>
      </c>
      <c r="C33" t="s">
        <v>17</v>
      </c>
      <c r="D33" t="s">
        <v>18</v>
      </c>
      <c r="E33" t="s">
        <v>2</v>
      </c>
      <c r="F33">
        <v>-11682.10494865</v>
      </c>
      <c r="G33" t="s">
        <v>15</v>
      </c>
      <c r="H33">
        <v>9.5</v>
      </c>
      <c r="I33">
        <f t="shared" si="2"/>
        <v>-0.10494864999964193</v>
      </c>
    </row>
    <row r="34" spans="1:9" x14ac:dyDescent="0.35">
      <c r="A34">
        <v>21</v>
      </c>
      <c r="B34" t="s">
        <v>29</v>
      </c>
      <c r="C34" t="s">
        <v>17</v>
      </c>
      <c r="D34" t="s">
        <v>18</v>
      </c>
      <c r="E34" t="s">
        <v>2</v>
      </c>
      <c r="F34">
        <v>-11682.10498953</v>
      </c>
      <c r="G34" t="s">
        <v>15</v>
      </c>
      <c r="H34">
        <v>10</v>
      </c>
      <c r="I34">
        <f t="shared" si="2"/>
        <v>-0.10498953000023903</v>
      </c>
    </row>
    <row r="35" spans="1:9" x14ac:dyDescent="0.35">
      <c r="A35">
        <v>22</v>
      </c>
      <c r="B35" t="s">
        <v>30</v>
      </c>
      <c r="C35" t="s">
        <v>17</v>
      </c>
      <c r="D35" t="s">
        <v>18</v>
      </c>
      <c r="E35" t="s">
        <v>2</v>
      </c>
      <c r="F35">
        <v>-11682.105032400001</v>
      </c>
      <c r="G35" t="s">
        <v>15</v>
      </c>
      <c r="H35">
        <v>10.5</v>
      </c>
      <c r="I35">
        <f t="shared" si="2"/>
        <v>-0.10503240000070946</v>
      </c>
    </row>
    <row r="36" spans="1:9" x14ac:dyDescent="0.35">
      <c r="A36">
        <v>23</v>
      </c>
      <c r="B36" t="s">
        <v>31</v>
      </c>
      <c r="C36" t="s">
        <v>17</v>
      </c>
      <c r="D36" t="s">
        <v>18</v>
      </c>
      <c r="E36" t="s">
        <v>2</v>
      </c>
      <c r="F36">
        <v>-11682.105077579999</v>
      </c>
      <c r="G36" t="s">
        <v>15</v>
      </c>
      <c r="H36">
        <v>11</v>
      </c>
      <c r="I36">
        <f t="shared" si="2"/>
        <v>-0.10507757999948808</v>
      </c>
    </row>
    <row r="37" spans="1:9" x14ac:dyDescent="0.35">
      <c r="A37">
        <v>24</v>
      </c>
      <c r="B37" t="s">
        <v>32</v>
      </c>
      <c r="C37" t="s">
        <v>17</v>
      </c>
      <c r="D37" t="s">
        <v>18</v>
      </c>
      <c r="E37" t="s">
        <v>2</v>
      </c>
      <c r="F37">
        <v>-11682.1051267</v>
      </c>
      <c r="G37" t="s">
        <v>15</v>
      </c>
      <c r="H37">
        <v>11.5</v>
      </c>
      <c r="I37">
        <f t="shared" si="2"/>
        <v>-0.10512670000025537</v>
      </c>
    </row>
    <row r="38" spans="1:9" x14ac:dyDescent="0.35">
      <c r="A38">
        <v>25</v>
      </c>
      <c r="B38" t="s">
        <v>33</v>
      </c>
      <c r="C38" t="s">
        <v>17</v>
      </c>
      <c r="D38" t="s">
        <v>18</v>
      </c>
      <c r="E38" t="s">
        <v>2</v>
      </c>
      <c r="F38">
        <v>-11682.105176839999</v>
      </c>
      <c r="G38" t="s">
        <v>15</v>
      </c>
      <c r="H38">
        <v>12</v>
      </c>
      <c r="I38">
        <f t="shared" si="2"/>
        <v>-0.1051768399993307</v>
      </c>
    </row>
    <row r="39" spans="1:9" x14ac:dyDescent="0.35">
      <c r="A39">
        <v>26</v>
      </c>
      <c r="B39" t="s">
        <v>34</v>
      </c>
      <c r="C39" t="s">
        <v>17</v>
      </c>
      <c r="D39" t="s">
        <v>18</v>
      </c>
      <c r="E39" t="s">
        <v>2</v>
      </c>
      <c r="F39">
        <v>-11682.105229770001</v>
      </c>
      <c r="G39" t="s">
        <v>15</v>
      </c>
      <c r="H39">
        <v>12.5</v>
      </c>
      <c r="I39">
        <f t="shared" si="2"/>
        <v>-0.10522977000073297</v>
      </c>
    </row>
    <row r="40" spans="1:9" x14ac:dyDescent="0.35">
      <c r="A40">
        <v>27</v>
      </c>
      <c r="B40" t="s">
        <v>35</v>
      </c>
      <c r="C40" t="s">
        <v>17</v>
      </c>
      <c r="D40" t="s">
        <v>18</v>
      </c>
      <c r="E40" t="s">
        <v>2</v>
      </c>
      <c r="F40">
        <v>-11682.105283340001</v>
      </c>
      <c r="G40" t="s">
        <v>15</v>
      </c>
      <c r="H40">
        <v>13</v>
      </c>
      <c r="I40">
        <f t="shared" si="2"/>
        <v>-0.10528334000082396</v>
      </c>
    </row>
    <row r="43" spans="1:9" x14ac:dyDescent="0.35">
      <c r="B43" t="s">
        <v>44</v>
      </c>
    </row>
    <row r="44" spans="1:9" x14ac:dyDescent="0.35">
      <c r="B44" t="s">
        <v>45</v>
      </c>
    </row>
    <row r="45" spans="1:9" x14ac:dyDescent="0.35">
      <c r="B45" t="s">
        <v>46</v>
      </c>
    </row>
    <row r="46" spans="1:9" x14ac:dyDescent="0.35">
      <c r="B46" s="1" t="s">
        <v>48</v>
      </c>
      <c r="C46" s="2">
        <v>-45.90251215</v>
      </c>
    </row>
    <row r="47" spans="1:9" x14ac:dyDescent="0.35">
      <c r="B47" s="1" t="s">
        <v>47</v>
      </c>
    </row>
  </sheetData>
  <sortState xmlns:xlrd2="http://schemas.microsoft.com/office/spreadsheetml/2017/richdata2" ref="A15:G40">
    <sortCondition ref="A15:A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Mohammed</dc:creator>
  <cp:lastModifiedBy>Sabeel Mohammed</cp:lastModifiedBy>
  <dcterms:created xsi:type="dcterms:W3CDTF">2026-03-10T17:07:40Z</dcterms:created>
  <dcterms:modified xsi:type="dcterms:W3CDTF">2026-03-10T19:15:29Z</dcterms:modified>
</cp:coreProperties>
</file>